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rba 1 rota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<sst xmlns="http://schemas.openxmlformats.org/spreadsheetml/2006/main" count="19" uniqueCount="19">
  <si>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Time</t>
  </si>
  <si>
    <t xml:space="preserve">Speed at A Run 1</t>
  </si>
  <si>
    <t xml:space="preserve">s</t>
  </si>
  <si>
    <t xml:space="preserve">m/s</t>
  </si>
  <si>
    <t xml:space="preserve">DATOS EXPERIMENTALES 1</t>
  </si>
  <si>
    <r>
      <rPr>
        <sz val="11"/>
        <color theme="1"/>
        <rFont val="Calibri"/>
        <family val="2"/>
        <charset val="1"/>
      </rPr>
      <t xml:space="preserve">a (m/s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</t>
    </r>
  </si>
  <si>
    <t xml:space="preserve">MOMENTUM EXPERIMENTAL</t>
  </si>
  <si>
    <t xml:space="preserve">m (kg)</t>
  </si>
  <si>
    <t xml:space="preserve">d (m)</t>
  </si>
  <si>
    <r>
      <rPr>
        <sz val="11"/>
        <color theme="1"/>
        <rFont val="Calibri"/>
        <family val="2"/>
        <charset val="1"/>
      </rPr>
      <t xml:space="preserve">I</t>
    </r>
    <r>
      <rPr>
        <i val="true"/>
        <vertAlign val="subscript"/>
        <sz val="11"/>
        <color theme="1"/>
        <rFont val="Calibri"/>
        <family val="2"/>
        <charset val="1"/>
      </rPr>
      <t xml:space="preserve">exp</t>
    </r>
  </si>
  <si>
    <r>
      <rPr>
        <sz val="11"/>
        <color theme="1"/>
        <rFont val="Calibri"/>
        <family val="2"/>
        <charset val="1"/>
      </rPr>
      <t xml:space="preserve">g (m/s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</si>
  <si>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</t>
    </r>
    <r>
      <rPr>
        <i val="true"/>
        <vertAlign val="subscript"/>
        <sz val="11"/>
        <color theme="1"/>
        <rFont val="Calibri"/>
        <family val="2"/>
        <charset val="1"/>
      </rPr>
      <t xml:space="preserve">disco</t>
    </r>
    <r>
      <rPr>
        <vertAlign val="subscript"/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 xml:space="preserve">(kg)</t>
    </r>
  </si>
  <si>
    <t xml:space="preserve">MOMENTUM TEORICO</t>
  </si>
  <si>
    <r>
      <rPr>
        <sz val="11"/>
        <color theme="1"/>
        <rFont val="Calibri"/>
        <family val="2"/>
        <charset val="1"/>
      </rPr>
      <t xml:space="preserve">r</t>
    </r>
    <r>
      <rPr>
        <i val="true"/>
        <vertAlign val="subscript"/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Calibri"/>
        <family val="2"/>
        <charset val="1"/>
      </rPr>
      <t xml:space="preserve"> (m)</t>
    </r>
  </si>
  <si>
    <r>
      <rPr>
        <sz val="11"/>
        <color theme="1"/>
        <rFont val="Calibri"/>
        <family val="2"/>
        <charset val="1"/>
      </rPr>
      <t xml:space="preserve">m</t>
    </r>
    <r>
      <rPr>
        <i val="true"/>
        <vertAlign val="subscript"/>
        <sz val="11"/>
        <color theme="1"/>
        <rFont val="Calibri"/>
        <family val="2"/>
        <charset val="1"/>
      </rPr>
      <t xml:space="preserve">anillo</t>
    </r>
    <r>
      <rPr>
        <sz val="11"/>
        <color theme="1"/>
        <rFont val="Calibri"/>
        <family val="2"/>
        <charset val="1"/>
      </rPr>
      <t xml:space="preserve"> (kg)</t>
    </r>
  </si>
  <si>
    <r>
      <rPr>
        <sz val="11"/>
        <color theme="1"/>
        <rFont val="Calibri"/>
        <family val="2"/>
        <charset val="1"/>
      </rPr>
      <t xml:space="preserve">I</t>
    </r>
    <r>
      <rPr>
        <vertAlign val="subscript"/>
        <sz val="11"/>
        <color theme="1"/>
        <rFont val="Calibri"/>
        <family val="2"/>
        <charset val="1"/>
      </rPr>
      <t xml:space="preserve">teo</t>
    </r>
  </si>
  <si>
    <r>
      <rPr>
        <sz val="11"/>
        <color theme="1"/>
        <rFont val="Calibri"/>
        <family val="2"/>
        <charset val="1"/>
      </rPr>
      <t xml:space="preserve">re</t>
    </r>
    <r>
      <rPr>
        <i val="true"/>
        <vertAlign val="subscript"/>
        <sz val="11"/>
        <color theme="1"/>
        <rFont val="Calibri"/>
        <family val="2"/>
        <charset val="1"/>
      </rPr>
      <t xml:space="preserve">anillo</t>
    </r>
    <r>
      <rPr>
        <sz val="11"/>
        <color theme="1"/>
        <rFont val="Calibri"/>
        <family val="2"/>
        <charset val="1"/>
      </rPr>
      <t xml:space="preserve"> (m)</t>
    </r>
  </si>
  <si>
    <r>
      <rPr>
        <sz val="11"/>
        <color theme="1"/>
        <rFont val="Calibri"/>
        <family val="2"/>
        <charset val="1"/>
      </rPr>
      <t xml:space="preserve">ri</t>
    </r>
    <r>
      <rPr>
        <i val="true"/>
        <vertAlign val="subscript"/>
        <sz val="11"/>
        <color theme="1"/>
        <rFont val="Calibri"/>
        <family val="2"/>
        <charset val="1"/>
      </rPr>
      <t xml:space="preserve">anillo</t>
    </r>
    <r>
      <rPr>
        <sz val="11"/>
        <color theme="1"/>
        <rFont val="Calibri"/>
        <family val="2"/>
        <charset val="1"/>
      </rPr>
      <t xml:space="preserve"> (m)</t>
    </r>
  </si>
  <si>
    <t xml:space="preserve">PORCENTAJE DE ERROR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</si>
</sst>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i val="true"/>
      <vertAlign val="subscript"/>
      <sz val="11"/>
      <color theme="1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m/s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'pruerba 1 rotacion'!$B$2</c:f>
              <c:strCache>
                <c:ptCount val="1"/>
                <c:pt idx="0">
                  <c:v>m/s</c:v>
                </c:pt>
              </c:strCache>
            </c:strRef>
          </c:tx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'pruerba 1 rotacion'!$A$3:$A$39</c:f>
              <c:numCache>
                <c:formatCode>General</c:formatCode>
                <c:ptCount val="37"/>
                <c:pt idx="0">
                  <c:v>3.195296</c:v>
                </c:pt>
                <c:pt idx="1">
                  <c:v>4.009615</c:v>
                </c:pt>
                <c:pt idx="2">
                  <c:v>4.615446</c:v>
                </c:pt>
                <c:pt idx="3">
                  <c:v>5.133737</c:v>
                </c:pt>
                <c:pt idx="4">
                  <c:v>5.60599</c:v>
                </c:pt>
                <c:pt idx="5">
                  <c:v>6.069618</c:v>
                </c:pt>
                <c:pt idx="6">
                  <c:v>6.513455</c:v>
                </c:pt>
                <c:pt idx="7">
                  <c:v>6.933013</c:v>
                </c:pt>
                <c:pt idx="8">
                  <c:v>7.326363</c:v>
                </c:pt>
                <c:pt idx="9">
                  <c:v>7.696487</c:v>
                </c:pt>
                <c:pt idx="10">
                  <c:v>8.049074</c:v>
                </c:pt>
                <c:pt idx="11">
                  <c:v>8.386517</c:v>
                </c:pt>
                <c:pt idx="12">
                  <c:v>8.709628</c:v>
                </c:pt>
                <c:pt idx="13">
                  <c:v>9.020693</c:v>
                </c:pt>
                <c:pt idx="14">
                  <c:v>9.321443</c:v>
                </c:pt>
                <c:pt idx="15">
                  <c:v>9.614022</c:v>
                </c:pt>
                <c:pt idx="16">
                  <c:v>9.89904</c:v>
                </c:pt>
                <c:pt idx="17">
                  <c:v>10.175011</c:v>
                </c:pt>
                <c:pt idx="18">
                  <c:v>10.441573</c:v>
                </c:pt>
                <c:pt idx="19">
                  <c:v>10.701099</c:v>
                </c:pt>
                <c:pt idx="20">
                  <c:v>10.953687</c:v>
                </c:pt>
                <c:pt idx="21">
                  <c:v>11.201628</c:v>
                </c:pt>
                <c:pt idx="22">
                  <c:v>11.444668</c:v>
                </c:pt>
                <c:pt idx="23">
                  <c:v>11.684018</c:v>
                </c:pt>
                <c:pt idx="24">
                  <c:v>11.918775</c:v>
                </c:pt>
                <c:pt idx="25">
                  <c:v>12.149302</c:v>
                </c:pt>
                <c:pt idx="26">
                  <c:v>12.376472</c:v>
                </c:pt>
                <c:pt idx="27">
                  <c:v>12.59939</c:v>
                </c:pt>
                <c:pt idx="28">
                  <c:v>12.817316</c:v>
                </c:pt>
                <c:pt idx="29">
                  <c:v>13.031267</c:v>
                </c:pt>
                <c:pt idx="30">
                  <c:v>13.240342</c:v>
                </c:pt>
                <c:pt idx="31">
                  <c:v>13.446417</c:v>
                </c:pt>
                <c:pt idx="32">
                  <c:v>13.650013</c:v>
                </c:pt>
                <c:pt idx="33">
                  <c:v>13.851573</c:v>
                </c:pt>
                <c:pt idx="34">
                  <c:v>14.051548</c:v>
                </c:pt>
                <c:pt idx="35">
                  <c:v>14.248296</c:v>
                </c:pt>
                <c:pt idx="36">
                  <c:v>14.442416</c:v>
                </c:pt>
              </c:numCache>
            </c:numRef>
          </c:xVal>
          <c:yVal>
            <c:numRef>
              <c:f>'pruerba 1 rotacion'!$B$3:$B$39</c:f>
              <c:numCache>
                <c:formatCode>General</c:formatCode>
                <c:ptCount val="37"/>
                <c:pt idx="0">
                  <c:v>0.023105</c:v>
                </c:pt>
                <c:pt idx="1">
                  <c:v>0.026546</c:v>
                </c:pt>
                <c:pt idx="2">
                  <c:v>0.028913</c:v>
                </c:pt>
                <c:pt idx="3">
                  <c:v>0.030833</c:v>
                </c:pt>
                <c:pt idx="4">
                  <c:v>0.032557</c:v>
                </c:pt>
                <c:pt idx="5">
                  <c:v>0.034532</c:v>
                </c:pt>
                <c:pt idx="6">
                  <c:v>0.036601</c:v>
                </c:pt>
                <c:pt idx="7">
                  <c:v>0.038698</c:v>
                </c:pt>
                <c:pt idx="8">
                  <c:v>0.040737</c:v>
                </c:pt>
                <c:pt idx="9">
                  <c:v>0.042657</c:v>
                </c:pt>
                <c:pt idx="10">
                  <c:v>0.044515</c:v>
                </c:pt>
                <c:pt idx="11">
                  <c:v>0.046263</c:v>
                </c:pt>
                <c:pt idx="12">
                  <c:v>0.047917</c:v>
                </c:pt>
                <c:pt idx="13">
                  <c:v>0.049464</c:v>
                </c:pt>
                <c:pt idx="14">
                  <c:v>0.050993</c:v>
                </c:pt>
                <c:pt idx="15">
                  <c:v>0.052492</c:v>
                </c:pt>
                <c:pt idx="16">
                  <c:v>0.053947</c:v>
                </c:pt>
                <c:pt idx="17">
                  <c:v>0.055334</c:v>
                </c:pt>
                <c:pt idx="18">
                  <c:v>0.056663</c:v>
                </c:pt>
                <c:pt idx="19">
                  <c:v>0.057954</c:v>
                </c:pt>
                <c:pt idx="20">
                  <c:v>0.059245</c:v>
                </c:pt>
                <c:pt idx="21">
                  <c:v>0.06055</c:v>
                </c:pt>
                <c:pt idx="22">
                  <c:v>0.061816</c:v>
                </c:pt>
                <c:pt idx="23">
                  <c:v>0.063058</c:v>
                </c:pt>
                <c:pt idx="24">
                  <c:v>0.064223</c:v>
                </c:pt>
                <c:pt idx="25">
                  <c:v>0.065402</c:v>
                </c:pt>
                <c:pt idx="26">
                  <c:v>0.066576</c:v>
                </c:pt>
                <c:pt idx="27">
                  <c:v>0.067721</c:v>
                </c:pt>
                <c:pt idx="28">
                  <c:v>0.068816</c:v>
                </c:pt>
                <c:pt idx="29">
                  <c:v>0.069895</c:v>
                </c:pt>
                <c:pt idx="30">
                  <c:v>0.070952</c:v>
                </c:pt>
                <c:pt idx="31">
                  <c:v>0.071992</c:v>
                </c:pt>
                <c:pt idx="32">
                  <c:v>0.073022</c:v>
                </c:pt>
                <c:pt idx="33">
                  <c:v>0.074066</c:v>
                </c:pt>
                <c:pt idx="34">
                  <c:v>0.075087</c:v>
                </c:pt>
                <c:pt idx="35">
                  <c:v>0.076098</c:v>
                </c:pt>
                <c:pt idx="36">
                  <c:v>0.077143</c:v>
                </c:pt>
              </c:numCache>
            </c:numRef>
          </c:yVal>
          <c:smooth val="0"/>
        </c:ser>
        <c:axId val="26580210"/>
        <c:axId val="70548732"/>
      </c:scatterChart>
      <c:valAx>
        <c:axId val="26580210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0548732"/>
        <c:crosses val="autoZero"/>
        <c:crossBetween val="midCat"/>
      </c:valAx>
      <c:valAx>
        <c:axId val="7054873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265802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28440</xdr:colOff>
      <xdr:row>2</xdr:row>
      <xdr:rowOff>147600</xdr:rowOff>
    </xdr:from>
    <xdr:to>
      <xdr:col>8</xdr:col>
      <xdr:colOff>723240</xdr:colOff>
      <xdr:row>16</xdr:row>
      <xdr:rowOff>85320</xdr:rowOff>
    </xdr:to>
    <xdr:graphicFrame>
      <xdr:nvGraphicFramePr>
        <xdr:cNvPr id="1" name="Gráfico 1"/>
        <xdr:cNvGraphicFramePr/>
      </xdr:nvGraphicFramePr>
      <xdr:xfrm>
        <a:off x="3619440" y="528480"/>
        <a:ext cx="4986720" cy="260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:V27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15"/>
    <col collapsed="false" customWidth="true" hidden="false" outlineLevel="0" max="4" min="4" style="0" width="10.43"/>
    <col collapsed="false" customWidth="true" hidden="false" outlineLevel="0" max="7" min="7" style="0" width="11.43"/>
    <col collapsed="false" customWidth="true" hidden="false" outlineLevel="0" max="10" min="10" style="0" width="11.86"/>
    <col collapsed="false" customWidth="true" hidden="false" outlineLevel="0" max="12" min="12" style="0" width="12.57"/>
    <col collapsed="false" customWidth="true" hidden="false" outlineLevel="0" max="13" min="13" style="0" width="16.72"/>
    <col collapsed="false" customWidth="true" hidden="false" outlineLevel="0" max="16" min="16" style="0" width="11.86"/>
    <col collapsed="false" customWidth="true" hidden="false" outlineLevel="0" max="24" min="24" style="0" width="15.7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  <c r="D2" s="2" t="s">
        <v>4</v>
      </c>
      <c r="W2" s="3"/>
      <c r="X2" s="3"/>
    </row>
    <row r="3" customFormat="false" ht="15" hidden="false" customHeight="false" outlineLevel="0" collapsed="false">
      <c r="A3" s="4" t="n">
        <v>3.195296</v>
      </c>
      <c r="B3" s="4" t="n">
        <v>0.023105</v>
      </c>
      <c r="W3" s="3"/>
      <c r="X3" s="3"/>
    </row>
    <row r="4" customFormat="false" ht="15" hidden="false" customHeight="false" outlineLevel="0" collapsed="false">
      <c r="A4" s="4" t="n">
        <v>4.009615</v>
      </c>
      <c r="B4" s="4" t="n">
        <v>0.026546</v>
      </c>
      <c r="W4" s="3"/>
      <c r="X4" s="3"/>
    </row>
    <row r="5" customFormat="false" ht="15" hidden="false" customHeight="false" outlineLevel="0" collapsed="false">
      <c r="A5" s="4" t="n">
        <v>4.615446</v>
      </c>
      <c r="B5" s="4" t="n">
        <v>0.028913</v>
      </c>
      <c r="W5" s="3"/>
      <c r="X5" s="3"/>
    </row>
    <row r="6" customFormat="false" ht="15" hidden="false" customHeight="false" outlineLevel="0" collapsed="false">
      <c r="A6" s="4" t="n">
        <v>5.133737</v>
      </c>
      <c r="B6" s="4" t="n">
        <v>0.030833</v>
      </c>
      <c r="W6" s="3"/>
      <c r="X6" s="3"/>
    </row>
    <row r="7" customFormat="false" ht="15" hidden="false" customHeight="false" outlineLevel="0" collapsed="false">
      <c r="A7" s="4" t="n">
        <v>5.60599</v>
      </c>
      <c r="B7" s="4" t="n">
        <v>0.032557</v>
      </c>
      <c r="W7" s="3"/>
      <c r="X7" s="3"/>
    </row>
    <row r="8" customFormat="false" ht="15" hidden="false" customHeight="false" outlineLevel="0" collapsed="false">
      <c r="A8" s="4" t="n">
        <v>6.069618</v>
      </c>
      <c r="B8" s="4" t="n">
        <v>0.034532</v>
      </c>
      <c r="W8" s="3"/>
      <c r="X8" s="3"/>
    </row>
    <row r="9" customFormat="false" ht="15" hidden="false" customHeight="false" outlineLevel="0" collapsed="false">
      <c r="A9" s="4" t="n">
        <v>6.513455</v>
      </c>
      <c r="B9" s="4" t="n">
        <v>0.036601</v>
      </c>
      <c r="W9" s="3"/>
      <c r="X9" s="3"/>
    </row>
    <row r="10" customFormat="false" ht="15" hidden="false" customHeight="false" outlineLevel="0" collapsed="false">
      <c r="A10" s="4" t="n">
        <v>6.933013</v>
      </c>
      <c r="B10" s="4" t="n">
        <v>0.038698</v>
      </c>
      <c r="W10" s="3"/>
      <c r="X10" s="3"/>
    </row>
    <row r="11" customFormat="false" ht="15" hidden="false" customHeight="false" outlineLevel="0" collapsed="false">
      <c r="A11" s="4" t="n">
        <v>7.326363</v>
      </c>
      <c r="B11" s="4" t="n">
        <v>0.040737</v>
      </c>
      <c r="W11" s="3"/>
      <c r="X11" s="3"/>
    </row>
    <row r="12" customFormat="false" ht="15" hidden="false" customHeight="false" outlineLevel="0" collapsed="false">
      <c r="A12" s="4" t="n">
        <v>7.696487</v>
      </c>
      <c r="B12" s="4" t="n">
        <v>0.042657</v>
      </c>
      <c r="W12" s="3"/>
      <c r="X12" s="3"/>
    </row>
    <row r="13" customFormat="false" ht="15" hidden="false" customHeight="false" outlineLevel="0" collapsed="false">
      <c r="A13" s="4" t="n">
        <v>8.049074</v>
      </c>
      <c r="B13" s="4" t="n">
        <v>0.044515</v>
      </c>
      <c r="W13" s="3"/>
      <c r="X13" s="3"/>
    </row>
    <row r="14" customFormat="false" ht="15" hidden="false" customHeight="false" outlineLevel="0" collapsed="false">
      <c r="A14" s="4" t="n">
        <v>8.386517</v>
      </c>
      <c r="B14" s="4" t="n">
        <v>0.046263</v>
      </c>
      <c r="W14" s="3"/>
      <c r="X14" s="3"/>
    </row>
    <row r="15" customFormat="false" ht="15" hidden="false" customHeight="false" outlineLevel="0" collapsed="false">
      <c r="A15" s="4" t="n">
        <v>8.709628</v>
      </c>
      <c r="B15" s="4" t="n">
        <v>0.047917</v>
      </c>
      <c r="W15" s="3"/>
      <c r="X15" s="3"/>
    </row>
    <row r="16" customFormat="false" ht="15" hidden="false" customHeight="false" outlineLevel="0" collapsed="false">
      <c r="A16" s="4" t="n">
        <v>9.020693</v>
      </c>
      <c r="B16" s="4" t="n">
        <v>0.049464</v>
      </c>
      <c r="W16" s="3"/>
      <c r="X16" s="3"/>
    </row>
    <row r="17" customFormat="false" ht="15" hidden="false" customHeight="false" outlineLevel="0" collapsed="false">
      <c r="A17" s="4" t="n">
        <v>9.321443</v>
      </c>
      <c r="B17" s="4" t="n">
        <v>0.050993</v>
      </c>
      <c r="W17" s="3"/>
      <c r="X17" s="3"/>
    </row>
    <row r="18" customFormat="false" ht="15" hidden="false" customHeight="false" outlineLevel="0" collapsed="false">
      <c r="A18" s="4" t="n">
        <v>9.614022</v>
      </c>
      <c r="B18" s="4" t="n">
        <v>0.052492</v>
      </c>
      <c r="W18" s="3"/>
      <c r="X18" s="3"/>
    </row>
    <row r="19" customFormat="false" ht="15" hidden="false" customHeight="false" outlineLevel="0" collapsed="false">
      <c r="A19" s="4" t="n">
        <v>9.89904</v>
      </c>
      <c r="B19" s="4" t="n">
        <v>0.053947</v>
      </c>
      <c r="W19" s="3"/>
      <c r="X19" s="3"/>
    </row>
    <row r="20" customFormat="false" ht="16.4" hidden="false" customHeight="false" outlineLevel="0" collapsed="false">
      <c r="A20" s="4" t="n">
        <v>10.175011</v>
      </c>
      <c r="B20" s="4" t="n">
        <v>0.055334</v>
      </c>
      <c r="D20" s="5" t="s">
        <v>5</v>
      </c>
      <c r="E20" s="6" t="n">
        <f aca="false">SLOPE(B3:B39,A3:A39)</f>
        <v>0.00494258295169734</v>
      </c>
      <c r="G20" s="0" t="s">
        <v>6</v>
      </c>
      <c r="W20" s="3"/>
      <c r="X20" s="3"/>
    </row>
    <row r="21" customFormat="false" ht="15" hidden="false" customHeight="false" outlineLevel="0" collapsed="false">
      <c r="A21" s="4" t="n">
        <v>10.441573</v>
      </c>
      <c r="B21" s="4" t="n">
        <v>0.056663</v>
      </c>
      <c r="D21" s="5" t="s">
        <v>7</v>
      </c>
      <c r="E21" s="6" t="n">
        <v>0.2017</v>
      </c>
      <c r="W21" s="3"/>
      <c r="X21" s="3"/>
    </row>
    <row r="22" customFormat="false" ht="16.4" hidden="false" customHeight="false" outlineLevel="0" collapsed="false">
      <c r="A22" s="4" t="n">
        <v>10.701099</v>
      </c>
      <c r="B22" s="4" t="n">
        <v>0.057954</v>
      </c>
      <c r="D22" s="5" t="s">
        <v>8</v>
      </c>
      <c r="E22" s="6" t="n">
        <v>0.0131</v>
      </c>
      <c r="G22" s="5" t="s">
        <v>9</v>
      </c>
      <c r="H22" s="6" t="n">
        <f aca="false">(E21*(E22^2)*(E23-E20))/(4*E20)</f>
        <v>0.017166615210123</v>
      </c>
      <c r="W22" s="3"/>
      <c r="X22" s="3"/>
    </row>
    <row r="23" customFormat="false" ht="16.4" hidden="false" customHeight="false" outlineLevel="0" collapsed="false">
      <c r="A23" s="4" t="n">
        <v>10.953687</v>
      </c>
      <c r="B23" s="4" t="n">
        <v>0.059245</v>
      </c>
      <c r="D23" s="5" t="s">
        <v>10</v>
      </c>
      <c r="E23" s="6" t="n">
        <v>9.81</v>
      </c>
      <c r="W23" s="3"/>
      <c r="X23" s="3"/>
    </row>
    <row r="24" customFormat="false" ht="15" hidden="false" customHeight="false" outlineLevel="0" collapsed="false">
      <c r="A24" s="4" t="n">
        <v>11.201628</v>
      </c>
      <c r="B24" s="4" t="n">
        <v>0.06055</v>
      </c>
      <c r="W24" s="3"/>
      <c r="X24" s="3"/>
    </row>
    <row r="25" customFormat="false" ht="15" hidden="false" customHeight="false" outlineLevel="0" collapsed="false">
      <c r="A25" s="4" t="n">
        <v>11.444668</v>
      </c>
      <c r="B25" s="4" t="n">
        <v>0.061816</v>
      </c>
      <c r="W25" s="3"/>
      <c r="X25" s="3"/>
    </row>
    <row r="26" customFormat="false" ht="15" hidden="false" customHeight="false" outlineLevel="0" collapsed="false">
      <c r="A26" s="4" t="n">
        <v>11.684018</v>
      </c>
      <c r="B26" s="4" t="n">
        <v>0.063058</v>
      </c>
      <c r="W26" s="3"/>
      <c r="X26" s="3"/>
    </row>
    <row r="27" customFormat="false" ht="16.4" hidden="false" customHeight="false" outlineLevel="0" collapsed="false">
      <c r="A27" s="4" t="n">
        <v>11.918775</v>
      </c>
      <c r="B27" s="4" t="n">
        <v>0.064223</v>
      </c>
      <c r="D27" s="5" t="s">
        <v>11</v>
      </c>
      <c r="E27" s="6" t="n">
        <v>1.4544</v>
      </c>
      <c r="G27" s="0" t="s">
        <v>12</v>
      </c>
      <c r="W27" s="3"/>
      <c r="X27" s="3"/>
    </row>
    <row r="28" customFormat="false" ht="16.4" hidden="false" customHeight="false" outlineLevel="0" collapsed="false">
      <c r="A28" s="4" t="n">
        <v>12.149302</v>
      </c>
      <c r="B28" s="4" t="n">
        <v>0.065402</v>
      </c>
      <c r="D28" s="5" t="s">
        <v>13</v>
      </c>
      <c r="E28" s="6" t="n">
        <v>0.1143</v>
      </c>
      <c r="W28" s="3"/>
      <c r="X28" s="3"/>
    </row>
    <row r="29" customFormat="false" ht="16.4" hidden="false" customHeight="false" outlineLevel="0" collapsed="false">
      <c r="A29" s="4" t="n">
        <v>12.376472</v>
      </c>
      <c r="B29" s="4" t="n">
        <v>0.066576</v>
      </c>
      <c r="D29" s="5" t="s">
        <v>14</v>
      </c>
      <c r="E29" s="6" t="n">
        <v>1.4466</v>
      </c>
      <c r="G29" s="5" t="s">
        <v>15</v>
      </c>
      <c r="H29" s="6" t="n">
        <f aca="false">(0.5*E27*(E28^2))+(0.5*E29*((E30^2)+(E31^2)))</f>
        <v>0.014523028135125</v>
      </c>
      <c r="W29" s="3"/>
      <c r="X29" s="3"/>
    </row>
    <row r="30" customFormat="false" ht="16.4" hidden="false" customHeight="false" outlineLevel="0" collapsed="false">
      <c r="A30" s="4" t="n">
        <v>12.59939</v>
      </c>
      <c r="B30" s="4" t="n">
        <v>0.067721</v>
      </c>
      <c r="D30" s="5" t="s">
        <v>16</v>
      </c>
      <c r="E30" s="6" t="n">
        <v>0.063825</v>
      </c>
      <c r="W30" s="3"/>
      <c r="X30" s="3"/>
    </row>
    <row r="31" customFormat="false" ht="16.4" hidden="false" customHeight="false" outlineLevel="0" collapsed="false">
      <c r="A31" s="4" t="n">
        <v>12.817316</v>
      </c>
      <c r="B31" s="4" t="n">
        <v>0.068816</v>
      </c>
      <c r="D31" s="5" t="s">
        <v>17</v>
      </c>
      <c r="E31" s="6" t="n">
        <v>0.053575</v>
      </c>
      <c r="W31" s="3"/>
      <c r="X31" s="3"/>
    </row>
    <row r="32" customFormat="false" ht="15" hidden="false" customHeight="false" outlineLevel="0" collapsed="false">
      <c r="A32" s="4" t="n">
        <v>13.031267</v>
      </c>
      <c r="B32" s="4" t="n">
        <v>0.069895</v>
      </c>
      <c r="W32" s="3"/>
      <c r="X32" s="3"/>
    </row>
    <row r="33" customFormat="false" ht="15" hidden="false" customHeight="false" outlineLevel="0" collapsed="false">
      <c r="A33" s="4" t="n">
        <v>13.240342</v>
      </c>
      <c r="B33" s="4" t="n">
        <v>0.070952</v>
      </c>
      <c r="D33" s="0" t="s">
        <v>18</v>
      </c>
      <c r="F33" s="0" t="n">
        <f aca="false">((H22-H29)/H29)*100</f>
        <v>18.2027263901276</v>
      </c>
      <c r="W33" s="3"/>
      <c r="X33" s="3"/>
    </row>
    <row r="34" customFormat="false" ht="15" hidden="false" customHeight="false" outlineLevel="0" collapsed="false">
      <c r="A34" s="4" t="n">
        <v>13.446417</v>
      </c>
      <c r="B34" s="4" t="n">
        <v>0.071992</v>
      </c>
      <c r="W34" s="3"/>
      <c r="X34" s="3"/>
    </row>
    <row r="35" customFormat="false" ht="15" hidden="false" customHeight="false" outlineLevel="0" collapsed="false">
      <c r="A35" s="4" t="n">
        <v>13.650013</v>
      </c>
      <c r="B35" s="4" t="n">
        <v>0.073022</v>
      </c>
      <c r="W35" s="3"/>
      <c r="X35" s="3"/>
    </row>
    <row r="36" customFormat="false" ht="15" hidden="false" customHeight="false" outlineLevel="0" collapsed="false">
      <c r="A36" s="4" t="n">
        <v>13.851573</v>
      </c>
      <c r="B36" s="4" t="n">
        <v>0.074066</v>
      </c>
      <c r="W36" s="3"/>
      <c r="X36" s="3"/>
    </row>
    <row r="37" customFormat="false" ht="15" hidden="false" customHeight="false" outlineLevel="0" collapsed="false">
      <c r="A37" s="4" t="n">
        <v>14.051548</v>
      </c>
      <c r="B37" s="4" t="n">
        <v>0.075087</v>
      </c>
      <c r="W37" s="3"/>
      <c r="X37" s="3"/>
    </row>
    <row r="38" customFormat="false" ht="15" hidden="false" customHeight="false" outlineLevel="0" collapsed="false">
      <c r="A38" s="4" t="n">
        <v>14.248296</v>
      </c>
      <c r="B38" s="4" t="n">
        <v>0.076098</v>
      </c>
      <c r="W38" s="3"/>
      <c r="X38" s="3"/>
    </row>
    <row r="39" customFormat="false" ht="15" hidden="false" customHeight="false" outlineLevel="0" collapsed="false">
      <c r="A39" s="4" t="n">
        <v>14.442416</v>
      </c>
      <c r="B39" s="4" t="n">
        <v>0.077143</v>
      </c>
      <c r="W39" s="3"/>
      <c r="X39" s="3"/>
    </row>
    <row r="40" customFormat="false" ht="15" hidden="false" customHeight="false" outlineLevel="0" collapsed="false">
      <c r="W40" s="3"/>
      <c r="X40" s="3"/>
    </row>
    <row r="41" customFormat="false" ht="15" hidden="false" customHeight="false" outlineLevel="0" collapsed="false">
      <c r="W41" s="3"/>
      <c r="X41" s="3"/>
    </row>
    <row r="42" customFormat="false" ht="15" hidden="false" customHeight="false" outlineLevel="0" collapsed="false">
      <c r="W42" s="3"/>
      <c r="X42" s="3"/>
    </row>
    <row r="43" customFormat="false" ht="15" hidden="false" customHeight="false" outlineLevel="0" collapsed="false">
      <c r="W43" s="3"/>
      <c r="X43" s="3"/>
    </row>
    <row r="44" customFormat="false" ht="15" hidden="false" customHeight="false" outlineLevel="0" collapsed="false">
      <c r="W44" s="3"/>
      <c r="X44" s="3"/>
    </row>
    <row r="45" customFormat="false" ht="15" hidden="false" customHeight="false" outlineLevel="0" collapsed="false">
      <c r="W45" s="3"/>
      <c r="X45" s="3"/>
    </row>
    <row r="46" customFormat="false" ht="15" hidden="false" customHeight="false" outlineLevel="0" collapsed="false">
      <c r="W46" s="3"/>
      <c r="X46" s="3"/>
    </row>
    <row r="47" customFormat="false" ht="15" hidden="false" customHeight="false" outlineLevel="0" collapsed="false">
      <c r="W47" s="3"/>
      <c r="X4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2026-09-03T15:13:59Z</dcterms:created>
  <dc:creator>User</dc:creator>
  <dc:description/>
  <dc:language>es-ES</dc:language>
  <cp:lastModifiedBy/>
  <dcterms:modified xsi:type="dcterms:W3CDTF">2026-09-15T11:48:06Z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